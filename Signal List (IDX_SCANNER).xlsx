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onaelsmac/Documents/idx-stock-scanner-agent/"/>
    </mc:Choice>
  </mc:AlternateContent>
  <xr:revisionPtr revIDLastSave="0" documentId="13_ncr:1_{19DF6705-B24D-CE4C-9829-3E5EB9E7A998}" xr6:coauthVersionLast="47" xr6:coauthVersionMax="47" xr10:uidLastSave="{00000000-0000-0000-0000-000000000000}"/>
  <bookViews>
    <workbookView xWindow="0" yWindow="780" windowWidth="36000" windowHeight="22600" firstSheet="1" activeTab="10" xr2:uid="{763167C5-9A9C-EE40-8DE5-9AE930CA0F30}"/>
  </bookViews>
  <sheets>
    <sheet name="Monday, May 11 2026" sheetId="1" r:id="rId1"/>
    <sheet name="Tuesday, May 12 2026" sheetId="2" r:id="rId2"/>
    <sheet name="Wednesday, May 13 2026" sheetId="4" r:id="rId3"/>
    <sheet name="Monday, May 18 2026" sheetId="6" r:id="rId4"/>
    <sheet name="Tuesday, May 19 2026" sheetId="7" r:id="rId5"/>
    <sheet name="Wednesday, May 20 2026" sheetId="8" r:id="rId6"/>
    <sheet name="Thursday, May 21 2026" sheetId="9" r:id="rId7"/>
    <sheet name="Friday, May 22 2026" sheetId="10" r:id="rId8"/>
    <sheet name="Monday, May 25 2026" sheetId="11" r:id="rId9"/>
    <sheet name="Tuesday, May 26 2026" sheetId="12" r:id="rId10"/>
    <sheet name="Tuesday, June 02 2026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4" l="1"/>
  <c r="G8" i="14" s="1"/>
  <c r="E8" i="14"/>
  <c r="F7" i="14"/>
  <c r="G7" i="14" s="1"/>
  <c r="E7" i="14"/>
  <c r="F6" i="14"/>
  <c r="G6" i="14" s="1"/>
  <c r="E6" i="14"/>
  <c r="F5" i="14"/>
  <c r="G5" i="14" s="1"/>
  <c r="E5" i="14"/>
  <c r="F4" i="14"/>
  <c r="G4" i="14" s="1"/>
  <c r="E4" i="14"/>
  <c r="F3" i="14"/>
  <c r="G3" i="14" s="1"/>
  <c r="E3" i="14"/>
  <c r="F2" i="14"/>
  <c r="G2" i="14" s="1"/>
  <c r="E2" i="14"/>
  <c r="F8" i="12"/>
  <c r="G8" i="12" s="1"/>
  <c r="E8" i="12"/>
  <c r="F7" i="12"/>
  <c r="G7" i="12" s="1"/>
  <c r="E7" i="12"/>
  <c r="F6" i="12"/>
  <c r="G6" i="12" s="1"/>
  <c r="E6" i="12"/>
  <c r="F5" i="12"/>
  <c r="G5" i="12" s="1"/>
  <c r="E5" i="12"/>
  <c r="F4" i="12"/>
  <c r="G4" i="12" s="1"/>
  <c r="E4" i="12"/>
  <c r="F3" i="12"/>
  <c r="G3" i="12" s="1"/>
  <c r="E3" i="12"/>
  <c r="F2" i="12"/>
  <c r="G2" i="12" s="1"/>
  <c r="E2" i="12"/>
  <c r="F8" i="11"/>
  <c r="G8" i="11" s="1"/>
  <c r="E8" i="11"/>
  <c r="F7" i="11"/>
  <c r="G7" i="11" s="1"/>
  <c r="E7" i="11"/>
  <c r="F6" i="11"/>
  <c r="G6" i="11" s="1"/>
  <c r="E6" i="11"/>
  <c r="F5" i="11"/>
  <c r="G5" i="11" s="1"/>
  <c r="E5" i="11"/>
  <c r="F4" i="11"/>
  <c r="G4" i="11" s="1"/>
  <c r="E4" i="11"/>
  <c r="F3" i="11"/>
  <c r="G3" i="11" s="1"/>
  <c r="E3" i="11"/>
  <c r="F2" i="11"/>
  <c r="G2" i="11" s="1"/>
  <c r="E2" i="11"/>
  <c r="F2" i="10"/>
  <c r="G2" i="10" s="1"/>
  <c r="F8" i="10"/>
  <c r="G8" i="10" s="1"/>
  <c r="E8" i="10"/>
  <c r="F7" i="10"/>
  <c r="G7" i="10" s="1"/>
  <c r="E7" i="10"/>
  <c r="F6" i="10"/>
  <c r="G6" i="10" s="1"/>
  <c r="E6" i="10"/>
  <c r="F5" i="10"/>
  <c r="G5" i="10" s="1"/>
  <c r="E5" i="10"/>
  <c r="F4" i="10"/>
  <c r="G4" i="10" s="1"/>
  <c r="E4" i="10"/>
  <c r="F3" i="10"/>
  <c r="G3" i="10" s="1"/>
  <c r="E3" i="10"/>
  <c r="E2" i="10"/>
  <c r="F8" i="9"/>
  <c r="G8" i="9" s="1"/>
  <c r="E8" i="9"/>
  <c r="F7" i="9"/>
  <c r="G7" i="9" s="1"/>
  <c r="E7" i="9"/>
  <c r="F6" i="9"/>
  <c r="G6" i="9" s="1"/>
  <c r="E6" i="9"/>
  <c r="F5" i="9"/>
  <c r="G5" i="9" s="1"/>
  <c r="E5" i="9"/>
  <c r="F4" i="9"/>
  <c r="G4" i="9" s="1"/>
  <c r="E4" i="9"/>
  <c r="F3" i="9"/>
  <c r="G3" i="9" s="1"/>
  <c r="E3" i="9"/>
  <c r="F2" i="9"/>
  <c r="G2" i="9" s="1"/>
  <c r="E2" i="9"/>
  <c r="F8" i="8"/>
  <c r="G8" i="8" s="1"/>
  <c r="E8" i="8"/>
  <c r="F7" i="8"/>
  <c r="G7" i="8" s="1"/>
  <c r="E7" i="8"/>
  <c r="F6" i="8"/>
  <c r="G6" i="8" s="1"/>
  <c r="E6" i="8"/>
  <c r="F5" i="8"/>
  <c r="G5" i="8" s="1"/>
  <c r="E5" i="8"/>
  <c r="F4" i="8"/>
  <c r="G4" i="8" s="1"/>
  <c r="E4" i="8"/>
  <c r="F3" i="8"/>
  <c r="G3" i="8" s="1"/>
  <c r="E3" i="8"/>
  <c r="F2" i="8"/>
  <c r="G2" i="8" s="1"/>
  <c r="E2" i="8"/>
  <c r="F8" i="7"/>
  <c r="G8" i="7" s="1"/>
  <c r="E8" i="7"/>
  <c r="F7" i="7"/>
  <c r="G7" i="7" s="1"/>
  <c r="E7" i="7"/>
  <c r="F6" i="7"/>
  <c r="G6" i="7" s="1"/>
  <c r="E6" i="7"/>
  <c r="F5" i="7"/>
  <c r="G5" i="7" s="1"/>
  <c r="E5" i="7"/>
  <c r="F4" i="7"/>
  <c r="G4" i="7" s="1"/>
  <c r="E4" i="7"/>
  <c r="F3" i="7"/>
  <c r="G3" i="7" s="1"/>
  <c r="E3" i="7"/>
  <c r="F2" i="7"/>
  <c r="G2" i="7" s="1"/>
  <c r="E2" i="7"/>
  <c r="F8" i="6"/>
  <c r="G8" i="6" s="1"/>
  <c r="E8" i="6"/>
  <c r="F7" i="6"/>
  <c r="G7" i="6" s="1"/>
  <c r="E7" i="6"/>
  <c r="F6" i="6"/>
  <c r="G6" i="6" s="1"/>
  <c r="E6" i="6"/>
  <c r="F5" i="6"/>
  <c r="G5" i="6" s="1"/>
  <c r="E5" i="6"/>
  <c r="F4" i="6"/>
  <c r="G4" i="6" s="1"/>
  <c r="E4" i="6"/>
  <c r="F3" i="6"/>
  <c r="G3" i="6" s="1"/>
  <c r="E3" i="6"/>
  <c r="F2" i="6"/>
  <c r="G2" i="6" s="1"/>
  <c r="E2" i="6"/>
  <c r="F8" i="4"/>
  <c r="G8" i="4" s="1"/>
  <c r="E8" i="4"/>
  <c r="F7" i="4"/>
  <c r="G7" i="4" s="1"/>
  <c r="E7" i="4"/>
  <c r="F6" i="4"/>
  <c r="G6" i="4" s="1"/>
  <c r="E6" i="4"/>
  <c r="F5" i="4"/>
  <c r="G5" i="4" s="1"/>
  <c r="E5" i="4"/>
  <c r="F4" i="4"/>
  <c r="G4" i="4" s="1"/>
  <c r="E4" i="4"/>
  <c r="F3" i="4"/>
  <c r="G3" i="4" s="1"/>
  <c r="E3" i="4"/>
  <c r="F2" i="4"/>
  <c r="G2" i="4" s="1"/>
  <c r="E2" i="4"/>
  <c r="E3" i="1"/>
  <c r="E4" i="1"/>
  <c r="E5" i="1"/>
  <c r="E6" i="1"/>
  <c r="E7" i="1"/>
  <c r="E8" i="1"/>
  <c r="E2" i="1"/>
  <c r="E3" i="2"/>
  <c r="E4" i="2"/>
  <c r="E5" i="2"/>
  <c r="E6" i="2"/>
  <c r="E7" i="2"/>
  <c r="E8" i="2"/>
  <c r="E2" i="2"/>
  <c r="F2" i="2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B10" i="1" s="1"/>
  <c r="F2" i="1"/>
  <c r="G2" i="1" s="1"/>
  <c r="B10" i="14" l="1"/>
  <c r="B10" i="12"/>
  <c r="B10" i="11"/>
  <c r="B10" i="10"/>
  <c r="B10" i="9"/>
  <c r="B10" i="8"/>
  <c r="B10" i="7"/>
  <c r="B10" i="6"/>
  <c r="B10" i="4"/>
  <c r="B10" i="2"/>
  <c r="G2" i="2"/>
</calcChain>
</file>

<file path=xl/sharedStrings.xml><?xml version="1.0" encoding="utf-8"?>
<sst xmlns="http://schemas.openxmlformats.org/spreadsheetml/2006/main" count="165" uniqueCount="54">
  <si>
    <t>Signal</t>
  </si>
  <si>
    <t>Open</t>
  </si>
  <si>
    <t>Close</t>
  </si>
  <si>
    <t>High</t>
  </si>
  <si>
    <t>MAPI</t>
  </si>
  <si>
    <t>LABS</t>
  </si>
  <si>
    <t>BJBR</t>
  </si>
  <si>
    <t>LPIN</t>
  </si>
  <si>
    <t>PRIM</t>
  </si>
  <si>
    <t>BJTM</t>
  </si>
  <si>
    <t>CHEK</t>
  </si>
  <si>
    <t>Win Rate</t>
  </si>
  <si>
    <t>W/L</t>
  </si>
  <si>
    <t>GJTL</t>
  </si>
  <si>
    <t>POWR</t>
  </si>
  <si>
    <t>TAMA</t>
  </si>
  <si>
    <t>KKES</t>
  </si>
  <si>
    <t>DFAM</t>
  </si>
  <si>
    <t>Percentage High</t>
  </si>
  <si>
    <t>Percentage Close</t>
  </si>
  <si>
    <t>ADRO</t>
  </si>
  <si>
    <t>MARK</t>
  </si>
  <si>
    <t>KJEN</t>
  </si>
  <si>
    <t>CCSI</t>
  </si>
  <si>
    <t>CFIN</t>
  </si>
  <si>
    <t>MPMX</t>
  </si>
  <si>
    <t>PRDA</t>
  </si>
  <si>
    <t>PBID</t>
  </si>
  <si>
    <t>BPTR</t>
  </si>
  <si>
    <t>PURA</t>
  </si>
  <si>
    <t>BTPN</t>
  </si>
  <si>
    <t>BRAM</t>
  </si>
  <si>
    <t>GGRP</t>
  </si>
  <si>
    <t>PGJO</t>
  </si>
  <si>
    <t>DMAS</t>
  </si>
  <si>
    <t>GGRM</t>
  </si>
  <si>
    <t>GHON</t>
  </si>
  <si>
    <t>BSML</t>
  </si>
  <si>
    <t>PACK</t>
  </si>
  <si>
    <t>BOBA</t>
  </si>
  <si>
    <t>UNIC</t>
  </si>
  <si>
    <t>UVCR</t>
  </si>
  <si>
    <t>LCKM</t>
  </si>
  <si>
    <t>BPTN</t>
  </si>
  <si>
    <t>HBAT</t>
  </si>
  <si>
    <t>MLBI</t>
  </si>
  <si>
    <t>TALF</t>
  </si>
  <si>
    <t>BKDP</t>
  </si>
  <si>
    <t>BBTN</t>
  </si>
  <si>
    <t>EPAC</t>
  </si>
  <si>
    <t>MMIX</t>
  </si>
  <si>
    <t>BRPT</t>
  </si>
  <si>
    <t>HATM</t>
  </si>
  <si>
    <t>OMRE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</si>
</sst>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9" fontId="0" fillId="0" borderId="1" xfId="1" applyFont="1" applyBorder="1"/>
    <xf numFmtId="10" fontId="0" fillId="0" borderId="1" xfId="1" applyNumberFormat="1" applyFont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4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B5A6-7672-9945-9E74-170EA4AA0BD2}">
  <dimension ref="A1:G10"/>
  <sheetViews>
    <sheetView workbookViewId="0">
      <selection activeCell="E42" sqref="E42"/>
    </sheetView>
  </sheetViews>
  <sheetFormatPr baseColWidth="10" defaultRowHeight="16" x14ac:dyDescent="0.2"/>
  <cols>
    <col min="5" max="5" width="19.1640625" customWidth="1"/>
    <col min="6" max="6" width="22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4</v>
      </c>
      <c r="B2" s="1">
        <v>1455</v>
      </c>
      <c r="C2" s="1">
        <v>1505</v>
      </c>
      <c r="D2" s="1">
        <v>1515</v>
      </c>
      <c r="E2" s="4">
        <f>(D2-B2)/B2</f>
        <v>4.1237113402061855E-2</v>
      </c>
      <c r="F2" s="4">
        <f>(C2-B2)/B2</f>
        <v>3.4364261168384883E-2</v>
      </c>
      <c r="G2" s="1" t="str">
        <f>IF(F2&gt;0,"W","L")</f>
        <v>W</v>
      </c>
    </row>
    <row r="3" spans="1:7" x14ac:dyDescent="0.2">
      <c r="A3" s="1" t="s">
        <v>5</v>
      </c>
      <c r="B3" s="1">
        <v>161</v>
      </c>
      <c r="C3" s="1">
        <v>216</v>
      </c>
      <c r="D3" s="1">
        <v>216</v>
      </c>
      <c r="E3" s="4">
        <f t="shared" ref="E3:E8" si="0">(D3-B3)/B3</f>
        <v>0.34161490683229812</v>
      </c>
      <c r="F3" s="4">
        <f t="shared" ref="F3:F8" si="1">(C3-B3)/B3</f>
        <v>0.34161490683229812</v>
      </c>
      <c r="G3" s="1" t="str">
        <f t="shared" ref="G3:G7" si="2">IF(F3&gt;0,"W","L")</f>
        <v>W</v>
      </c>
    </row>
    <row r="4" spans="1:7" x14ac:dyDescent="0.2">
      <c r="A4" s="1" t="s">
        <v>6</v>
      </c>
      <c r="B4" s="1">
        <v>805</v>
      </c>
      <c r="C4" s="1">
        <v>800</v>
      </c>
      <c r="D4" s="1">
        <v>810</v>
      </c>
      <c r="E4" s="4">
        <f t="shared" si="0"/>
        <v>6.2111801242236021E-3</v>
      </c>
      <c r="F4" s="4">
        <f t="shared" si="1"/>
        <v>-6.2111801242236021E-3</v>
      </c>
      <c r="G4" s="1" t="str">
        <f t="shared" si="2"/>
        <v>L</v>
      </c>
    </row>
    <row r="5" spans="1:7" x14ac:dyDescent="0.2">
      <c r="A5" s="1" t="s">
        <v>7</v>
      </c>
      <c r="B5" s="1">
        <v>440</v>
      </c>
      <c r="C5" s="1">
        <v>434</v>
      </c>
      <c r="D5" s="1">
        <v>440</v>
      </c>
      <c r="E5" s="4">
        <f t="shared" si="0"/>
        <v>0</v>
      </c>
      <c r="F5" s="4">
        <f t="shared" si="1"/>
        <v>-1.3636363636363636E-2</v>
      </c>
      <c r="G5" s="1" t="str">
        <f t="shared" si="2"/>
        <v>L</v>
      </c>
    </row>
    <row r="6" spans="1:7" x14ac:dyDescent="0.2">
      <c r="A6" s="1" t="s">
        <v>8</v>
      </c>
      <c r="B6" s="1">
        <v>89</v>
      </c>
      <c r="C6" s="1">
        <v>99</v>
      </c>
      <c r="D6" s="1">
        <v>116</v>
      </c>
      <c r="E6" s="4">
        <f t="shared" si="0"/>
        <v>0.30337078651685395</v>
      </c>
      <c r="F6" s="4">
        <f t="shared" si="1"/>
        <v>0.11235955056179775</v>
      </c>
      <c r="G6" s="1" t="str">
        <f t="shared" si="2"/>
        <v>W</v>
      </c>
    </row>
    <row r="7" spans="1:7" x14ac:dyDescent="0.2">
      <c r="A7" s="1" t="s">
        <v>9</v>
      </c>
      <c r="B7" s="1">
        <v>605</v>
      </c>
      <c r="C7" s="1">
        <v>595</v>
      </c>
      <c r="D7" s="1">
        <v>605</v>
      </c>
      <c r="E7" s="4">
        <f t="shared" si="0"/>
        <v>0</v>
      </c>
      <c r="F7" s="4">
        <f t="shared" si="1"/>
        <v>-1.6528925619834711E-2</v>
      </c>
      <c r="G7" s="1" t="str">
        <f t="shared" si="2"/>
        <v>L</v>
      </c>
    </row>
    <row r="8" spans="1:7" x14ac:dyDescent="0.2">
      <c r="A8" s="1" t="s">
        <v>10</v>
      </c>
      <c r="B8" s="1">
        <v>151</v>
      </c>
      <c r="C8" s="1">
        <v>151</v>
      </c>
      <c r="D8" s="1">
        <v>194</v>
      </c>
      <c r="E8" s="4">
        <f t="shared" si="0"/>
        <v>0.28476821192052981</v>
      </c>
      <c r="F8" s="4">
        <f t="shared" si="1"/>
        <v>0</v>
      </c>
      <c r="G8" s="1" t="str">
        <f>IF(F8&gt;0,"W","L")</f>
        <v>L</v>
      </c>
    </row>
    <row r="10" spans="1:7" x14ac:dyDescent="0.2">
      <c r="A10" s="5" t="s">
        <v>11</v>
      </c>
      <c r="B10" s="3">
        <f>COUNTIF(G2:G8,"W")/7</f>
        <v>0.42857142857142855</v>
      </c>
    </row>
  </sheetData>
  <conditionalFormatting sqref="E2:F8">
    <cfRule type="cellIs" dxfId="43" priority="1" operator="lessThan">
      <formula>0</formula>
    </cfRule>
    <cfRule type="cellIs" dxfId="42" priority="2" operator="greaterThan">
      <formula>0</formula>
    </cfRule>
  </conditionalFormatting>
  <conditionalFormatting sqref="G2:G8">
    <cfRule type="cellIs" dxfId="41" priority="3" operator="equal">
      <formula>"L"</formula>
    </cfRule>
    <cfRule type="cellIs" dxfId="40" priority="4" operator="equal">
      <formula>"W"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6797-3D14-AC4A-A4D3-E36803E6AB24}">
  <dimension ref="A1:G10"/>
  <sheetViews>
    <sheetView workbookViewId="0">
      <selection activeCell="E45" sqref="E45"/>
    </sheetView>
  </sheetViews>
  <sheetFormatPr baseColWidth="10" defaultRowHeight="16" x14ac:dyDescent="0.2"/>
  <cols>
    <col min="5" max="5" width="19.1640625" customWidth="1"/>
    <col min="6" max="6" width="24.6640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13</v>
      </c>
      <c r="B2" s="1">
        <v>1240</v>
      </c>
      <c r="C2" s="1">
        <v>1205</v>
      </c>
      <c r="D2" s="1">
        <v>1235</v>
      </c>
      <c r="E2" s="4">
        <f>(D2-B2)/B2</f>
        <v>-4.0322580645161289E-3</v>
      </c>
      <c r="F2" s="4">
        <f t="shared" ref="F2:F8" si="0">(C2-B2)/B2</f>
        <v>-2.8225806451612902E-2</v>
      </c>
      <c r="G2" s="1" t="str">
        <f>IF(F2&gt;0,"W","L")</f>
        <v>L</v>
      </c>
    </row>
    <row r="3" spans="1:7" x14ac:dyDescent="0.2">
      <c r="A3" s="1" t="s">
        <v>14</v>
      </c>
      <c r="B3" s="1">
        <v>750</v>
      </c>
      <c r="C3" s="1">
        <v>765</v>
      </c>
      <c r="D3" s="1">
        <v>785</v>
      </c>
      <c r="E3" s="4">
        <f t="shared" ref="E3:E8" si="1">(D3-B3)/B3</f>
        <v>4.6666666666666669E-2</v>
      </c>
      <c r="F3" s="4">
        <f t="shared" si="0"/>
        <v>0.02</v>
      </c>
      <c r="G3" s="1" t="str">
        <f t="shared" ref="G3:G7" si="2">IF(F3&gt;0,"W","L")</f>
        <v>W</v>
      </c>
    </row>
    <row r="4" spans="1:7" x14ac:dyDescent="0.2">
      <c r="A4" s="1" t="s">
        <v>9</v>
      </c>
      <c r="B4" s="1">
        <v>595</v>
      </c>
      <c r="C4" s="1">
        <v>590</v>
      </c>
      <c r="D4" s="1">
        <v>600</v>
      </c>
      <c r="E4" s="4">
        <f t="shared" si="1"/>
        <v>8.4033613445378148E-3</v>
      </c>
      <c r="F4" s="4">
        <f t="shared" si="0"/>
        <v>-8.4033613445378148E-3</v>
      </c>
      <c r="G4" s="1" t="str">
        <f t="shared" si="2"/>
        <v>L</v>
      </c>
    </row>
    <row r="5" spans="1:7" x14ac:dyDescent="0.2">
      <c r="A5" s="1" t="s">
        <v>15</v>
      </c>
      <c r="B5" s="1">
        <v>236</v>
      </c>
      <c r="C5" s="1">
        <v>214</v>
      </c>
      <c r="D5" s="1">
        <v>244</v>
      </c>
      <c r="E5" s="4">
        <f t="shared" si="1"/>
        <v>3.3898305084745763E-2</v>
      </c>
      <c r="F5" s="4">
        <f t="shared" si="0"/>
        <v>-9.3220338983050849E-2</v>
      </c>
      <c r="G5" s="1" t="str">
        <f t="shared" si="2"/>
        <v>L</v>
      </c>
    </row>
    <row r="6" spans="1:7" x14ac:dyDescent="0.2">
      <c r="A6" s="1" t="s">
        <v>16</v>
      </c>
      <c r="B6" s="1">
        <v>48</v>
      </c>
      <c r="C6" s="1">
        <v>44</v>
      </c>
      <c r="D6" s="1">
        <v>52</v>
      </c>
      <c r="E6" s="4">
        <f t="shared" si="1"/>
        <v>8.3333333333333329E-2</v>
      </c>
      <c r="F6" s="4">
        <f t="shared" si="0"/>
        <v>-8.3333333333333329E-2</v>
      </c>
      <c r="G6" s="1" t="str">
        <f t="shared" si="2"/>
        <v>L</v>
      </c>
    </row>
    <row r="7" spans="1:7" x14ac:dyDescent="0.2">
      <c r="A7" s="1" t="s">
        <v>4</v>
      </c>
      <c r="B7" s="1">
        <v>1505</v>
      </c>
      <c r="C7" s="1">
        <v>1495</v>
      </c>
      <c r="D7" s="1">
        <v>1520</v>
      </c>
      <c r="E7" s="4">
        <f t="shared" si="1"/>
        <v>9.9667774086378731E-3</v>
      </c>
      <c r="F7" s="4">
        <f t="shared" si="0"/>
        <v>-6.6445182724252493E-3</v>
      </c>
      <c r="G7" s="1" t="str">
        <f t="shared" si="2"/>
        <v>L</v>
      </c>
    </row>
    <row r="8" spans="1:7" x14ac:dyDescent="0.2">
      <c r="A8" s="1" t="s">
        <v>17</v>
      </c>
      <c r="B8" s="1">
        <v>140</v>
      </c>
      <c r="C8" s="1">
        <v>124</v>
      </c>
      <c r="D8" s="1">
        <v>130</v>
      </c>
      <c r="E8" s="4">
        <f t="shared" si="1"/>
        <v>-7.1428571428571425E-2</v>
      </c>
      <c r="F8" s="4">
        <f t="shared" si="0"/>
        <v>-0.11428571428571428</v>
      </c>
      <c r="G8" s="1" t="str">
        <f>IF(F8&gt;0,"W","L")</f>
        <v>L</v>
      </c>
    </row>
    <row r="10" spans="1:7" x14ac:dyDescent="0.2">
      <c r="A10" s="5" t="s">
        <v>11</v>
      </c>
      <c r="B10" s="3">
        <f>COUNTIF(G2:G8,"W")/7</f>
        <v>0.14285714285714285</v>
      </c>
    </row>
  </sheetData>
  <conditionalFormatting sqref="E2:F8">
    <cfRule type="cellIs" dxfId="39" priority="1" operator="lessThan">
      <formula>0</formula>
    </cfRule>
    <cfRule type="cellIs" dxfId="38" priority="2" operator="greaterThan">
      <formula>0</formula>
    </cfRule>
  </conditionalFormatting>
  <conditionalFormatting sqref="G2:G8">
    <cfRule type="cellIs" dxfId="37" priority="3" operator="equal">
      <formula>"L"</formula>
    </cfRule>
    <cfRule type="cellIs" dxfId="36" priority="4" operator="equal">
      <formula>"W"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2A34-918D-FF46-A42E-3BD0FE942021}">
  <dimension ref="A1:G10"/>
  <sheetViews>
    <sheetView workbookViewId="0">
      <selection activeCell="H44" sqref="H44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20</v>
      </c>
      <c r="B2" s="1">
        <v>2600</v>
      </c>
      <c r="C2" s="1">
        <v>2520</v>
      </c>
      <c r="D2" s="1">
        <v>2570</v>
      </c>
      <c r="E2" s="4">
        <f>(D2-B2)/B2</f>
        <v>-1.1538461538461539E-2</v>
      </c>
      <c r="F2" s="4">
        <f t="shared" ref="F2:F8" si="0">(C2-B2)/B2</f>
        <v>-3.0769230769230771E-2</v>
      </c>
      <c r="G2" s="1" t="str">
        <f>IF(F2&gt;0,"W","L")</f>
        <v>L</v>
      </c>
    </row>
    <row r="3" spans="1:7" x14ac:dyDescent="0.2">
      <c r="A3" s="1" t="s">
        <v>14</v>
      </c>
      <c r="B3" s="1">
        <v>765</v>
      </c>
      <c r="C3" s="1">
        <v>770</v>
      </c>
      <c r="D3" s="1">
        <v>775</v>
      </c>
      <c r="E3" s="4">
        <f t="shared" ref="E3:E8" si="1">(D3-B3)/B3</f>
        <v>1.3071895424836602E-2</v>
      </c>
      <c r="F3" s="4">
        <f t="shared" si="0"/>
        <v>6.5359477124183009E-3</v>
      </c>
      <c r="G3" s="1" t="str">
        <f t="shared" ref="G3:G7" si="2">IF(F3&gt;0,"W","L")</f>
        <v>W</v>
      </c>
    </row>
    <row r="4" spans="1:7" x14ac:dyDescent="0.2">
      <c r="A4" s="1" t="s">
        <v>9</v>
      </c>
      <c r="B4" s="1">
        <v>590</v>
      </c>
      <c r="C4" s="1">
        <v>585</v>
      </c>
      <c r="D4" s="1">
        <v>590</v>
      </c>
      <c r="E4" s="4">
        <f t="shared" si="1"/>
        <v>0</v>
      </c>
      <c r="F4" s="4">
        <f t="shared" si="0"/>
        <v>-8.4745762711864406E-3</v>
      </c>
      <c r="G4" s="1" t="str">
        <f t="shared" si="2"/>
        <v>L</v>
      </c>
    </row>
    <row r="5" spans="1:7" x14ac:dyDescent="0.2">
      <c r="A5" s="1" t="s">
        <v>21</v>
      </c>
      <c r="B5" s="1">
        <v>875</v>
      </c>
      <c r="C5" s="1">
        <v>865</v>
      </c>
      <c r="D5" s="1">
        <v>890</v>
      </c>
      <c r="E5" s="4">
        <f t="shared" si="1"/>
        <v>1.7142857142857144E-2</v>
      </c>
      <c r="F5" s="4">
        <f t="shared" si="0"/>
        <v>-1.1428571428571429E-2</v>
      </c>
      <c r="G5" s="1" t="str">
        <f t="shared" si="2"/>
        <v>L</v>
      </c>
    </row>
    <row r="6" spans="1:7" x14ac:dyDescent="0.2">
      <c r="A6" s="1" t="s">
        <v>22</v>
      </c>
      <c r="B6" s="1">
        <v>155</v>
      </c>
      <c r="C6" s="1">
        <v>168</v>
      </c>
      <c r="D6" s="1">
        <v>174</v>
      </c>
      <c r="E6" s="4">
        <f t="shared" si="1"/>
        <v>0.12258064516129032</v>
      </c>
      <c r="F6" s="4">
        <f t="shared" si="0"/>
        <v>8.387096774193549E-2</v>
      </c>
      <c r="G6" s="1" t="str">
        <f t="shared" si="2"/>
        <v>W</v>
      </c>
    </row>
    <row r="7" spans="1:7" x14ac:dyDescent="0.2">
      <c r="A7" s="1" t="s">
        <v>23</v>
      </c>
      <c r="B7" s="1">
        <v>300</v>
      </c>
      <c r="C7" s="1">
        <v>278</v>
      </c>
      <c r="D7" s="1">
        <v>370</v>
      </c>
      <c r="E7" s="4">
        <f t="shared" si="1"/>
        <v>0.23333333333333334</v>
      </c>
      <c r="F7" s="4">
        <f t="shared" si="0"/>
        <v>-7.3333333333333334E-2</v>
      </c>
      <c r="G7" s="1" t="str">
        <f t="shared" si="2"/>
        <v>L</v>
      </c>
    </row>
    <row r="8" spans="1:7" x14ac:dyDescent="0.2">
      <c r="A8" s="1" t="s">
        <v>6</v>
      </c>
      <c r="B8" s="1">
        <v>795</v>
      </c>
      <c r="C8" s="1">
        <v>785</v>
      </c>
      <c r="D8" s="1">
        <v>795</v>
      </c>
      <c r="E8" s="4">
        <f t="shared" si="1"/>
        <v>0</v>
      </c>
      <c r="F8" s="4">
        <f t="shared" si="0"/>
        <v>-1.2578616352201259E-2</v>
      </c>
      <c r="G8" s="1" t="str">
        <f>IF(F8&gt;0,"W","L")</f>
        <v>L</v>
      </c>
    </row>
    <row r="10" spans="1:7" x14ac:dyDescent="0.2">
      <c r="A10" s="5" t="s">
        <v>11</v>
      </c>
      <c r="B10" s="3">
        <f>COUNTIF(G2:G8,"W")/7</f>
        <v>0.2857142857142857</v>
      </c>
    </row>
  </sheetData>
  <conditionalFormatting sqref="E2:F8">
    <cfRule type="cellIs" dxfId="35" priority="1" operator="lessThan">
      <formula>0</formula>
    </cfRule>
    <cfRule type="cellIs" dxfId="34" priority="2" operator="greaterThan">
      <formula>0</formula>
    </cfRule>
  </conditionalFormatting>
  <conditionalFormatting sqref="G2:G8">
    <cfRule type="cellIs" dxfId="33" priority="3" operator="equal">
      <formula>"L"</formula>
    </cfRule>
    <cfRule type="cellIs" dxfId="32" priority="4" operator="equal">
      <formula>"W"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BB01-C700-F748-939A-C7E505ED9AC5}">
  <dimension ref="A1:G10"/>
  <sheetViews>
    <sheetView workbookViewId="0">
      <selection activeCell="J44" sqref="J44"/>
    </sheetView>
  </sheetViews>
  <sheetFormatPr baseColWidth="10" defaultRowHeight="16" x14ac:dyDescent="0.2"/>
  <cols>
    <col min="5" max="5" width="15.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14</v>
      </c>
      <c r="B2" s="1">
        <v>770</v>
      </c>
      <c r="C2" s="1">
        <v>775</v>
      </c>
      <c r="D2" s="1">
        <v>790</v>
      </c>
      <c r="E2" s="4">
        <f>(D2-B2)/B2</f>
        <v>2.5974025974025976E-2</v>
      </c>
      <c r="F2" s="4">
        <f t="shared" ref="F2:F8" si="0">(C2-B2)/B2</f>
        <v>6.4935064935064939E-3</v>
      </c>
      <c r="G2" s="1" t="str">
        <f>IF(F2&gt;0,"W","L")</f>
        <v>W</v>
      </c>
    </row>
    <row r="3" spans="1:7" x14ac:dyDescent="0.2">
      <c r="A3" s="1" t="s">
        <v>4</v>
      </c>
      <c r="B3" s="1">
        <v>1475</v>
      </c>
      <c r="C3" s="1">
        <v>1485</v>
      </c>
      <c r="D3" s="1">
        <v>1495</v>
      </c>
      <c r="E3" s="4">
        <f t="shared" ref="E3:E8" si="1">(D3-B3)/B3</f>
        <v>1.3559322033898305E-2</v>
      </c>
      <c r="F3" s="4">
        <f t="shared" si="0"/>
        <v>6.7796610169491523E-3</v>
      </c>
      <c r="G3" s="1" t="str">
        <f t="shared" ref="G3:G7" si="2">IF(F3&gt;0,"W","L")</f>
        <v>W</v>
      </c>
    </row>
    <row r="4" spans="1:7" x14ac:dyDescent="0.2">
      <c r="A4" s="1" t="s">
        <v>24</v>
      </c>
      <c r="B4" s="1">
        <v>348</v>
      </c>
      <c r="C4" s="1">
        <v>348</v>
      </c>
      <c r="D4" s="1">
        <v>342</v>
      </c>
      <c r="E4" s="4">
        <f t="shared" si="1"/>
        <v>-1.7241379310344827E-2</v>
      </c>
      <c r="F4" s="4">
        <f t="shared" si="0"/>
        <v>0</v>
      </c>
      <c r="G4" s="1" t="str">
        <f t="shared" si="2"/>
        <v>L</v>
      </c>
    </row>
    <row r="5" spans="1:7" x14ac:dyDescent="0.2">
      <c r="A5" s="1" t="s">
        <v>21</v>
      </c>
      <c r="B5" s="1">
        <v>865</v>
      </c>
      <c r="C5" s="1">
        <v>850</v>
      </c>
      <c r="D5" s="1">
        <v>865</v>
      </c>
      <c r="E5" s="4">
        <f t="shared" si="1"/>
        <v>0</v>
      </c>
      <c r="F5" s="4">
        <f t="shared" si="0"/>
        <v>-1.7341040462427744E-2</v>
      </c>
      <c r="G5" s="1" t="str">
        <f t="shared" si="2"/>
        <v>L</v>
      </c>
    </row>
    <row r="6" spans="1:7" x14ac:dyDescent="0.2">
      <c r="A6" s="1" t="s">
        <v>15</v>
      </c>
      <c r="B6" s="1">
        <v>212</v>
      </c>
      <c r="C6" s="1">
        <v>240</v>
      </c>
      <c r="D6" s="1">
        <v>240</v>
      </c>
      <c r="E6" s="4">
        <f t="shared" si="1"/>
        <v>0.13207547169811321</v>
      </c>
      <c r="F6" s="4">
        <f t="shared" si="0"/>
        <v>0.13207547169811321</v>
      </c>
      <c r="G6" s="1" t="str">
        <f t="shared" si="2"/>
        <v>W</v>
      </c>
    </row>
    <row r="7" spans="1:7" x14ac:dyDescent="0.2">
      <c r="A7" s="1" t="s">
        <v>25</v>
      </c>
      <c r="B7" s="1">
        <v>1010</v>
      </c>
      <c r="C7" s="1">
        <v>1005</v>
      </c>
      <c r="D7" s="1">
        <v>1010</v>
      </c>
      <c r="E7" s="4">
        <f t="shared" si="1"/>
        <v>0</v>
      </c>
      <c r="F7" s="4">
        <f t="shared" si="0"/>
        <v>-4.9504950495049506E-3</v>
      </c>
      <c r="G7" s="1" t="str">
        <f t="shared" si="2"/>
        <v>L</v>
      </c>
    </row>
    <row r="8" spans="1:7" x14ac:dyDescent="0.2">
      <c r="A8" s="1" t="s">
        <v>26</v>
      </c>
      <c r="B8" s="1">
        <v>2550</v>
      </c>
      <c r="C8" s="1">
        <v>2670</v>
      </c>
      <c r="D8" s="1">
        <v>2890</v>
      </c>
      <c r="E8" s="4">
        <f t="shared" si="1"/>
        <v>0.13333333333333333</v>
      </c>
      <c r="F8" s="4">
        <f t="shared" si="0"/>
        <v>4.7058823529411764E-2</v>
      </c>
      <c r="G8" s="1" t="str">
        <f>IF(F8&gt;0,"W","L")</f>
        <v>W</v>
      </c>
    </row>
    <row r="10" spans="1:7" x14ac:dyDescent="0.2">
      <c r="A10" s="5" t="s">
        <v>11</v>
      </c>
      <c r="B10" s="3">
        <f>COUNTIF(G2:G8,"W")/7</f>
        <v>0.5714285714285714</v>
      </c>
    </row>
  </sheetData>
  <conditionalFormatting sqref="E2:F8">
    <cfRule type="cellIs" dxfId="31" priority="1" operator="lessThan">
      <formula>0</formula>
    </cfRule>
    <cfRule type="cellIs" dxfId="30" priority="2" operator="greaterThan">
      <formula>0</formula>
    </cfRule>
  </conditionalFormatting>
  <conditionalFormatting sqref="G2:G8">
    <cfRule type="cellIs" dxfId="29" priority="3" operator="equal">
      <formula>"L"</formula>
    </cfRule>
    <cfRule type="cellIs" dxfId="28" priority="4" operator="equal">
      <formula>"W"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E485-7CF6-AE4A-8D74-038FFD12E327}">
  <dimension ref="A1:G10"/>
  <sheetViews>
    <sheetView workbookViewId="0">
      <selection activeCell="M42" sqref="M42"/>
    </sheetView>
  </sheetViews>
  <sheetFormatPr baseColWidth="10" defaultRowHeight="16" x14ac:dyDescent="0.2"/>
  <cols>
    <col min="5" max="5" width="15.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27</v>
      </c>
      <c r="B2" s="1">
        <v>550</v>
      </c>
      <c r="C2" s="1">
        <v>555</v>
      </c>
      <c r="D2" s="1">
        <v>555</v>
      </c>
      <c r="E2" s="4">
        <f>(D2-B2)/B2</f>
        <v>9.0909090909090905E-3</v>
      </c>
      <c r="F2" s="4">
        <f t="shared" ref="F2:F8" si="0">(C2-B2)/B2</f>
        <v>9.0909090909090905E-3</v>
      </c>
      <c r="G2" s="1" t="str">
        <f>IF(F2&gt;0,"W","L")</f>
        <v>W</v>
      </c>
    </row>
    <row r="3" spans="1:7" x14ac:dyDescent="0.2">
      <c r="A3" s="1" t="s">
        <v>16</v>
      </c>
      <c r="B3" s="1">
        <v>52</v>
      </c>
      <c r="C3" s="1">
        <v>47</v>
      </c>
      <c r="D3" s="1">
        <v>49</v>
      </c>
      <c r="E3" s="4">
        <f t="shared" ref="E3:E8" si="1">(D3-B3)/B3</f>
        <v>-5.7692307692307696E-2</v>
      </c>
      <c r="F3" s="4">
        <f t="shared" si="0"/>
        <v>-9.6153846153846159E-2</v>
      </c>
      <c r="G3" s="1" t="str">
        <f t="shared" ref="G3:G7" si="2">IF(F3&gt;0,"W","L")</f>
        <v>L</v>
      </c>
    </row>
    <row r="4" spans="1:7" x14ac:dyDescent="0.2">
      <c r="A4" s="1" t="s">
        <v>4</v>
      </c>
      <c r="B4" s="1">
        <v>1485</v>
      </c>
      <c r="C4" s="1">
        <v>1480</v>
      </c>
      <c r="D4" s="1">
        <v>1505</v>
      </c>
      <c r="E4" s="4">
        <f t="shared" si="1"/>
        <v>1.3468013468013467E-2</v>
      </c>
      <c r="F4" s="4">
        <f t="shared" si="0"/>
        <v>-3.3670033670033669E-3</v>
      </c>
      <c r="G4" s="1" t="str">
        <f t="shared" si="2"/>
        <v>L</v>
      </c>
    </row>
    <row r="5" spans="1:7" x14ac:dyDescent="0.2">
      <c r="A5" s="1" t="s">
        <v>28</v>
      </c>
      <c r="B5" s="1">
        <v>100</v>
      </c>
      <c r="C5" s="1">
        <v>83</v>
      </c>
      <c r="D5" s="1">
        <v>100</v>
      </c>
      <c r="E5" s="4">
        <f t="shared" si="1"/>
        <v>0</v>
      </c>
      <c r="F5" s="4">
        <f t="shared" si="0"/>
        <v>-0.17</v>
      </c>
      <c r="G5" s="1" t="str">
        <f t="shared" si="2"/>
        <v>L</v>
      </c>
    </row>
    <row r="6" spans="1:7" x14ac:dyDescent="0.2">
      <c r="A6" s="1" t="s">
        <v>25</v>
      </c>
      <c r="B6" s="1">
        <v>1005</v>
      </c>
      <c r="C6" s="1">
        <v>1010</v>
      </c>
      <c r="D6" s="1">
        <v>995</v>
      </c>
      <c r="E6" s="4">
        <f t="shared" si="1"/>
        <v>-9.9502487562189053E-3</v>
      </c>
      <c r="F6" s="4">
        <f t="shared" si="0"/>
        <v>4.9751243781094526E-3</v>
      </c>
      <c r="G6" s="1" t="str">
        <f t="shared" si="2"/>
        <v>W</v>
      </c>
    </row>
    <row r="7" spans="1:7" x14ac:dyDescent="0.2">
      <c r="A7" s="1" t="s">
        <v>26</v>
      </c>
      <c r="B7" s="1">
        <v>2670</v>
      </c>
      <c r="C7" s="1">
        <v>2600</v>
      </c>
      <c r="D7" s="1">
        <v>2720</v>
      </c>
      <c r="E7" s="4">
        <f t="shared" si="1"/>
        <v>1.8726591760299626E-2</v>
      </c>
      <c r="F7" s="4">
        <f t="shared" si="0"/>
        <v>-2.6217228464419477E-2</v>
      </c>
      <c r="G7" s="1" t="str">
        <f t="shared" si="2"/>
        <v>L</v>
      </c>
    </row>
    <row r="8" spans="1:7" x14ac:dyDescent="0.2">
      <c r="A8" s="1" t="s">
        <v>29</v>
      </c>
      <c r="B8" s="1">
        <v>37</v>
      </c>
      <c r="C8" s="1">
        <v>40</v>
      </c>
      <c r="D8" s="1">
        <v>40</v>
      </c>
      <c r="E8" s="4">
        <f t="shared" si="1"/>
        <v>8.1081081081081086E-2</v>
      </c>
      <c r="F8" s="4">
        <f t="shared" si="0"/>
        <v>8.1081081081081086E-2</v>
      </c>
      <c r="G8" s="1" t="str">
        <f>IF(F8&gt;0,"W","L")</f>
        <v>W</v>
      </c>
    </row>
    <row r="10" spans="1:7" x14ac:dyDescent="0.2">
      <c r="A10" s="5" t="s">
        <v>11</v>
      </c>
      <c r="B10" s="3">
        <f>COUNTIF(G2:G8,"W")/7</f>
        <v>0.42857142857142855</v>
      </c>
    </row>
  </sheetData>
  <conditionalFormatting sqref="E2:F8">
    <cfRule type="cellIs" dxfId="27" priority="1" operator="lessThan">
      <formula>0</formula>
    </cfRule>
    <cfRule type="cellIs" dxfId="26" priority="2" operator="greaterThan">
      <formula>0</formula>
    </cfRule>
  </conditionalFormatting>
  <conditionalFormatting sqref="G2:G8">
    <cfRule type="cellIs" dxfId="25" priority="3" operator="equal">
      <formula>"L"</formula>
    </cfRule>
    <cfRule type="cellIs" dxfId="24" priority="4" operator="equal">
      <formula>"W"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3AED-0585-AA4C-B15B-D816A8FE97A4}">
  <dimension ref="A1:G10"/>
  <sheetViews>
    <sheetView workbookViewId="0">
      <selection activeCell="M24" sqref="M24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30</v>
      </c>
      <c r="B2" s="1">
        <v>2240</v>
      </c>
      <c r="C2" s="1">
        <v>2300</v>
      </c>
      <c r="D2" s="1">
        <v>2330</v>
      </c>
      <c r="E2" s="4">
        <f>(D2-B2)/B2</f>
        <v>4.0178571428571432E-2</v>
      </c>
      <c r="F2" s="4">
        <f t="shared" ref="F2:F8" si="0">(C2-B2)/B2</f>
        <v>2.6785714285714284E-2</v>
      </c>
      <c r="G2" s="1" t="str">
        <f>IF(F2&gt;0,"W","L")</f>
        <v>W</v>
      </c>
    </row>
    <row r="3" spans="1:7" x14ac:dyDescent="0.2">
      <c r="A3" s="1" t="s">
        <v>27</v>
      </c>
      <c r="B3" s="1">
        <v>555</v>
      </c>
      <c r="C3" s="1">
        <v>555</v>
      </c>
      <c r="D3" s="1">
        <v>555</v>
      </c>
      <c r="E3" s="4">
        <f t="shared" ref="E3:E8" si="1">(D3-B3)/B3</f>
        <v>0</v>
      </c>
      <c r="F3" s="4">
        <f t="shared" si="0"/>
        <v>0</v>
      </c>
      <c r="G3" s="1" t="str">
        <f t="shared" ref="G3:G7" si="2">IF(F3&gt;0,"W","L")</f>
        <v>L</v>
      </c>
    </row>
    <row r="4" spans="1:7" x14ac:dyDescent="0.2">
      <c r="A4" s="1" t="s">
        <v>31</v>
      </c>
      <c r="B4" s="1">
        <v>4800</v>
      </c>
      <c r="C4" s="1">
        <v>4740</v>
      </c>
      <c r="D4" s="1">
        <v>4800</v>
      </c>
      <c r="E4" s="4">
        <f t="shared" si="1"/>
        <v>0</v>
      </c>
      <c r="F4" s="4">
        <f t="shared" si="0"/>
        <v>-1.2500000000000001E-2</v>
      </c>
      <c r="G4" s="1" t="str">
        <f t="shared" si="2"/>
        <v>L</v>
      </c>
    </row>
    <row r="5" spans="1:7" x14ac:dyDescent="0.2">
      <c r="A5" s="1" t="s">
        <v>4</v>
      </c>
      <c r="B5" s="1">
        <v>1480</v>
      </c>
      <c r="C5" s="1">
        <v>1480</v>
      </c>
      <c r="D5" s="1">
        <v>1485</v>
      </c>
      <c r="E5" s="4">
        <f t="shared" si="1"/>
        <v>3.3783783783783786E-3</v>
      </c>
      <c r="F5" s="4">
        <f t="shared" si="0"/>
        <v>0</v>
      </c>
      <c r="G5" s="1" t="str">
        <f t="shared" si="2"/>
        <v>L</v>
      </c>
    </row>
    <row r="6" spans="1:7" x14ac:dyDescent="0.2">
      <c r="A6" s="1" t="s">
        <v>14</v>
      </c>
      <c r="B6" s="1">
        <v>760</v>
      </c>
      <c r="C6" s="1">
        <v>760</v>
      </c>
      <c r="D6" s="1">
        <v>775</v>
      </c>
      <c r="E6" s="4">
        <f t="shared" si="1"/>
        <v>1.9736842105263157E-2</v>
      </c>
      <c r="F6" s="4">
        <f t="shared" si="0"/>
        <v>0</v>
      </c>
      <c r="G6" s="1" t="str">
        <f t="shared" si="2"/>
        <v>L</v>
      </c>
    </row>
    <row r="7" spans="1:7" x14ac:dyDescent="0.2">
      <c r="A7" s="1" t="s">
        <v>32</v>
      </c>
      <c r="B7" s="1">
        <v>326</v>
      </c>
      <c r="C7" s="1">
        <v>326</v>
      </c>
      <c r="D7" s="1">
        <v>338</v>
      </c>
      <c r="E7" s="4">
        <f t="shared" si="1"/>
        <v>3.6809815950920248E-2</v>
      </c>
      <c r="F7" s="4">
        <f t="shared" si="0"/>
        <v>0</v>
      </c>
      <c r="G7" s="1" t="str">
        <f t="shared" si="2"/>
        <v>L</v>
      </c>
    </row>
    <row r="8" spans="1:7" x14ac:dyDescent="0.2">
      <c r="A8" s="1" t="s">
        <v>33</v>
      </c>
      <c r="B8" s="1">
        <v>855</v>
      </c>
      <c r="C8" s="1">
        <v>800</v>
      </c>
      <c r="D8" s="1">
        <v>825</v>
      </c>
      <c r="E8" s="4">
        <f t="shared" si="1"/>
        <v>-3.5087719298245612E-2</v>
      </c>
      <c r="F8" s="4">
        <f t="shared" si="0"/>
        <v>-6.4327485380116955E-2</v>
      </c>
      <c r="G8" s="1" t="str">
        <f>IF(F8&gt;0,"W","L")</f>
        <v>L</v>
      </c>
    </row>
    <row r="10" spans="1:7" x14ac:dyDescent="0.2">
      <c r="A10" s="5" t="s">
        <v>11</v>
      </c>
      <c r="B10" s="3">
        <f>COUNTIF(G2:G8,"W")/7</f>
        <v>0.14285714285714285</v>
      </c>
    </row>
  </sheetData>
  <conditionalFormatting sqref="E2:F8">
    <cfRule type="cellIs" dxfId="23" priority="1" operator="lessThan">
      <formula>0</formula>
    </cfRule>
    <cfRule type="cellIs" dxfId="22" priority="2" operator="greaterThan">
      <formula>0</formula>
    </cfRule>
  </conditionalFormatting>
  <conditionalFormatting sqref="G2:G8">
    <cfRule type="cellIs" dxfId="21" priority="3" operator="equal">
      <formula>"L"</formula>
    </cfRule>
    <cfRule type="cellIs" dxfId="20" priority="4" operator="equal">
      <formula>"W"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90BA-7AF6-CF46-B010-AB2BD77F367B}">
  <dimension ref="A1:G10"/>
  <sheetViews>
    <sheetView workbookViewId="0">
      <selection activeCell="P50" sqref="P50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4</v>
      </c>
      <c r="B2" s="1">
        <v>1480</v>
      </c>
      <c r="C2" s="1">
        <v>1485</v>
      </c>
      <c r="D2" s="1">
        <v>1495</v>
      </c>
      <c r="E2" s="4">
        <f>(D2-B2)/B2</f>
        <v>1.0135135135135136E-2</v>
      </c>
      <c r="F2" s="4">
        <f t="shared" ref="F2:F8" si="0">(C2-B2)/B2</f>
        <v>3.3783783783783786E-3</v>
      </c>
      <c r="G2" s="1" t="str">
        <f>IF(F2&gt;0,"W","L")</f>
        <v>W</v>
      </c>
    </row>
    <row r="3" spans="1:7" x14ac:dyDescent="0.2">
      <c r="A3" s="1" t="s">
        <v>21</v>
      </c>
      <c r="B3" s="1">
        <v>810</v>
      </c>
      <c r="C3" s="1">
        <v>795</v>
      </c>
      <c r="D3" s="1">
        <v>810</v>
      </c>
      <c r="E3" s="4">
        <f t="shared" ref="E3:E8" si="1">(D3-B3)/B3</f>
        <v>0</v>
      </c>
      <c r="F3" s="4">
        <f t="shared" si="0"/>
        <v>-1.8518518518518517E-2</v>
      </c>
      <c r="G3" s="1" t="str">
        <f t="shared" ref="G3:G7" si="2">IF(F3&gt;0,"W","L")</f>
        <v>L</v>
      </c>
    </row>
    <row r="4" spans="1:7" x14ac:dyDescent="0.2">
      <c r="A4" s="1" t="s">
        <v>34</v>
      </c>
      <c r="B4" s="1">
        <v>152</v>
      </c>
      <c r="C4" s="1">
        <v>150</v>
      </c>
      <c r="D4" s="1">
        <v>155</v>
      </c>
      <c r="E4" s="4">
        <f t="shared" si="1"/>
        <v>1.9736842105263157E-2</v>
      </c>
      <c r="F4" s="4">
        <f t="shared" si="0"/>
        <v>-1.3157894736842105E-2</v>
      </c>
      <c r="G4" s="1" t="str">
        <f t="shared" si="2"/>
        <v>L</v>
      </c>
    </row>
    <row r="5" spans="1:7" x14ac:dyDescent="0.2">
      <c r="A5" s="1" t="s">
        <v>35</v>
      </c>
      <c r="B5" s="1">
        <v>16350</v>
      </c>
      <c r="C5" s="1">
        <v>16200</v>
      </c>
      <c r="D5" s="1">
        <v>16650</v>
      </c>
      <c r="E5" s="4">
        <f t="shared" si="1"/>
        <v>1.834862385321101E-2</v>
      </c>
      <c r="F5" s="4">
        <f t="shared" si="0"/>
        <v>-9.1743119266055051E-3</v>
      </c>
      <c r="G5" s="1" t="str">
        <f t="shared" si="2"/>
        <v>L</v>
      </c>
    </row>
    <row r="6" spans="1:7" x14ac:dyDescent="0.2">
      <c r="A6" s="1" t="s">
        <v>36</v>
      </c>
      <c r="B6" s="1">
        <v>1815</v>
      </c>
      <c r="C6" s="1">
        <v>1755</v>
      </c>
      <c r="D6" s="1">
        <v>1810</v>
      </c>
      <c r="E6" s="4">
        <f t="shared" si="1"/>
        <v>-2.7548209366391185E-3</v>
      </c>
      <c r="F6" s="4">
        <f t="shared" si="0"/>
        <v>-3.3057851239669422E-2</v>
      </c>
      <c r="G6" s="1" t="str">
        <f t="shared" si="2"/>
        <v>L</v>
      </c>
    </row>
    <row r="7" spans="1:7" x14ac:dyDescent="0.2">
      <c r="A7" s="1" t="s">
        <v>37</v>
      </c>
      <c r="B7" s="1">
        <v>414</v>
      </c>
      <c r="C7" s="1">
        <v>416</v>
      </c>
      <c r="D7" s="1">
        <v>424</v>
      </c>
      <c r="E7" s="4">
        <f t="shared" si="1"/>
        <v>2.4154589371980676E-2</v>
      </c>
      <c r="F7" s="4">
        <f t="shared" si="0"/>
        <v>4.830917874396135E-3</v>
      </c>
      <c r="G7" s="1" t="str">
        <f t="shared" si="2"/>
        <v>W</v>
      </c>
    </row>
    <row r="8" spans="1:7" x14ac:dyDescent="0.2">
      <c r="A8" s="1" t="s">
        <v>38</v>
      </c>
      <c r="B8" s="1">
        <v>334</v>
      </c>
      <c r="C8" s="1">
        <v>302</v>
      </c>
      <c r="D8" s="1">
        <v>318</v>
      </c>
      <c r="E8" s="4">
        <f t="shared" si="1"/>
        <v>-4.790419161676647E-2</v>
      </c>
      <c r="F8" s="4">
        <f t="shared" si="0"/>
        <v>-9.580838323353294E-2</v>
      </c>
      <c r="G8" s="1" t="str">
        <f>IF(F8&gt;0,"W","L")</f>
        <v>L</v>
      </c>
    </row>
    <row r="10" spans="1:7" x14ac:dyDescent="0.2">
      <c r="A10" s="5" t="s">
        <v>11</v>
      </c>
      <c r="B10" s="3">
        <f>COUNTIF(G2:G8,"W")/7</f>
        <v>0.2857142857142857</v>
      </c>
    </row>
  </sheetData>
  <conditionalFormatting sqref="E2:F8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G2:G8">
    <cfRule type="cellIs" dxfId="17" priority="3" operator="equal">
      <formula>"L"</formula>
    </cfRule>
    <cfRule type="cellIs" dxfId="16" priority="4" operator="equal">
      <formula>"W"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308F-8282-694C-B635-ECE51CFB6562}">
  <dimension ref="A1:G10"/>
  <sheetViews>
    <sheetView workbookViewId="0">
      <selection activeCell="G10" sqref="A1:G10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39</v>
      </c>
      <c r="B2" s="1">
        <v>316</v>
      </c>
      <c r="C2" s="1">
        <v>270</v>
      </c>
      <c r="D2" s="1">
        <v>316</v>
      </c>
      <c r="E2" s="4">
        <f>(D2-B2)/B2</f>
        <v>0</v>
      </c>
      <c r="F2" s="4">
        <f>(C2-B2)/B2</f>
        <v>-0.14556962025316456</v>
      </c>
      <c r="G2" s="1" t="str">
        <f>IF(F2&gt;0,"W","L")</f>
        <v>L</v>
      </c>
    </row>
    <row r="3" spans="1:7" x14ac:dyDescent="0.2">
      <c r="A3" s="1" t="s">
        <v>40</v>
      </c>
      <c r="B3" s="1">
        <v>14200</v>
      </c>
      <c r="C3" s="1">
        <v>14600</v>
      </c>
      <c r="D3" s="1">
        <v>14900</v>
      </c>
      <c r="E3" s="4">
        <f t="shared" ref="E3:E8" si="0">(D3-B3)/B3</f>
        <v>4.9295774647887321E-2</v>
      </c>
      <c r="F3" s="4">
        <f t="shared" ref="F3:F8" si="1">(C3-B3)/B3</f>
        <v>2.8169014084507043E-2</v>
      </c>
      <c r="G3" s="1" t="str">
        <f t="shared" ref="G3:G7" si="2">IF(F3&gt;0,"W","L")</f>
        <v>W</v>
      </c>
    </row>
    <row r="4" spans="1:7" x14ac:dyDescent="0.2">
      <c r="A4" s="1" t="s">
        <v>4</v>
      </c>
      <c r="B4" s="1">
        <v>1495</v>
      </c>
      <c r="C4" s="1">
        <v>1505</v>
      </c>
      <c r="D4" s="1">
        <v>1505</v>
      </c>
      <c r="E4" s="4">
        <f t="shared" si="0"/>
        <v>6.688963210702341E-3</v>
      </c>
      <c r="F4" s="4">
        <f t="shared" si="1"/>
        <v>6.688963210702341E-3</v>
      </c>
      <c r="G4" s="1" t="str">
        <f t="shared" si="2"/>
        <v>W</v>
      </c>
    </row>
    <row r="5" spans="1:7" x14ac:dyDescent="0.2">
      <c r="A5" s="1" t="s">
        <v>32</v>
      </c>
      <c r="B5" s="1">
        <v>322</v>
      </c>
      <c r="C5" s="1">
        <v>328</v>
      </c>
      <c r="D5" s="1">
        <v>330</v>
      </c>
      <c r="E5" s="4">
        <f t="shared" si="0"/>
        <v>2.4844720496894408E-2</v>
      </c>
      <c r="F5" s="4">
        <f t="shared" si="1"/>
        <v>1.8633540372670808E-2</v>
      </c>
      <c r="G5" s="1" t="str">
        <f t="shared" si="2"/>
        <v>W</v>
      </c>
    </row>
    <row r="6" spans="1:7" x14ac:dyDescent="0.2">
      <c r="A6" s="1" t="s">
        <v>41</v>
      </c>
      <c r="B6" s="1">
        <v>226</v>
      </c>
      <c r="C6" s="1">
        <v>228</v>
      </c>
      <c r="D6" s="1">
        <v>230</v>
      </c>
      <c r="E6" s="4">
        <f t="shared" si="0"/>
        <v>1.7699115044247787E-2</v>
      </c>
      <c r="F6" s="4">
        <f t="shared" si="1"/>
        <v>8.8495575221238937E-3</v>
      </c>
      <c r="G6" s="1" t="str">
        <f t="shared" si="2"/>
        <v>W</v>
      </c>
    </row>
    <row r="7" spans="1:7" x14ac:dyDescent="0.2">
      <c r="A7" s="1" t="s">
        <v>22</v>
      </c>
      <c r="B7" s="1">
        <v>174</v>
      </c>
      <c r="C7" s="1">
        <v>165</v>
      </c>
      <c r="D7" s="1">
        <v>171</v>
      </c>
      <c r="E7" s="4">
        <f t="shared" si="0"/>
        <v>-1.7241379310344827E-2</v>
      </c>
      <c r="F7" s="4">
        <f t="shared" si="1"/>
        <v>-5.1724137931034482E-2</v>
      </c>
      <c r="G7" s="1" t="str">
        <f t="shared" si="2"/>
        <v>L</v>
      </c>
    </row>
    <row r="8" spans="1:7" x14ac:dyDescent="0.2">
      <c r="A8" s="1" t="s">
        <v>42</v>
      </c>
      <c r="B8" s="1">
        <v>165</v>
      </c>
      <c r="C8" s="1">
        <v>141</v>
      </c>
      <c r="D8" s="1">
        <v>141</v>
      </c>
      <c r="E8" s="4">
        <f t="shared" si="0"/>
        <v>-0.14545454545454545</v>
      </c>
      <c r="F8" s="4">
        <f t="shared" si="1"/>
        <v>-0.14545454545454545</v>
      </c>
      <c r="G8" s="1" t="str">
        <f>IF(F8&gt;0,"W","L")</f>
        <v>L</v>
      </c>
    </row>
    <row r="10" spans="1:7" x14ac:dyDescent="0.2">
      <c r="A10" s="5" t="s">
        <v>11</v>
      </c>
      <c r="B10" s="3">
        <f>COUNTIF(G2:G8,"W")/7</f>
        <v>0.5714285714285714</v>
      </c>
    </row>
  </sheetData>
  <conditionalFormatting sqref="E2:F8">
    <cfRule type="cellIs" dxfId="15" priority="1" operator="lessThan">
      <formula>0</formula>
    </cfRule>
    <cfRule type="cellIs" dxfId="14" priority="2" operator="greaterThan">
      <formula>0</formula>
    </cfRule>
  </conditionalFormatting>
  <conditionalFormatting sqref="G2:G8">
    <cfRule type="cellIs" dxfId="13" priority="3" operator="equal">
      <formula>"L"</formula>
    </cfRule>
    <cfRule type="cellIs" dxfId="12" priority="4" operator="equal">
      <formula>"W"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FF96-627A-2A4D-8DDF-9C8D6F15FC9E}">
  <dimension ref="A1:G10"/>
  <sheetViews>
    <sheetView workbookViewId="0">
      <selection activeCell="G10" sqref="A1:G10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17</v>
      </c>
      <c r="B2" s="1">
        <v>140</v>
      </c>
      <c r="C2" s="1">
        <v>119</v>
      </c>
      <c r="D2" s="1">
        <v>151</v>
      </c>
      <c r="E2" s="4">
        <f>(D2-B2)/B2</f>
        <v>7.857142857142857E-2</v>
      </c>
      <c r="F2" s="4">
        <f>(C2-B2)/B2</f>
        <v>-0.15</v>
      </c>
      <c r="G2" s="1" t="str">
        <f>IF(F2&gt;0,"W","L")</f>
        <v>L</v>
      </c>
    </row>
    <row r="3" spans="1:7" x14ac:dyDescent="0.2">
      <c r="A3" s="1" t="s">
        <v>43</v>
      </c>
      <c r="B3" s="1">
        <v>2380</v>
      </c>
      <c r="C3" s="1">
        <v>2400</v>
      </c>
      <c r="D3" s="1">
        <v>2500</v>
      </c>
      <c r="E3" s="4">
        <f t="shared" ref="E3:E8" si="0">(D3-B3)/B3</f>
        <v>5.0420168067226892E-2</v>
      </c>
      <c r="F3" s="4">
        <f t="shared" ref="F3:F8" si="1">(C3-B3)/B3</f>
        <v>8.4033613445378148E-3</v>
      </c>
      <c r="G3" s="1" t="str">
        <f t="shared" ref="G3:G7" si="2">IF(F3&gt;0,"W","L")</f>
        <v>W</v>
      </c>
    </row>
    <row r="4" spans="1:7" x14ac:dyDescent="0.2">
      <c r="A4" s="1" t="s">
        <v>4</v>
      </c>
      <c r="B4" s="1">
        <v>1505</v>
      </c>
      <c r="C4" s="1">
        <v>1495</v>
      </c>
      <c r="D4" s="1">
        <v>1505</v>
      </c>
      <c r="E4" s="4">
        <f t="shared" si="0"/>
        <v>0</v>
      </c>
      <c r="F4" s="4">
        <f t="shared" si="1"/>
        <v>-6.6445182724252493E-3</v>
      </c>
      <c r="G4" s="1" t="str">
        <f t="shared" si="2"/>
        <v>L</v>
      </c>
    </row>
    <row r="5" spans="1:7" x14ac:dyDescent="0.2">
      <c r="A5" s="1" t="s">
        <v>40</v>
      </c>
      <c r="B5" s="1">
        <v>14600</v>
      </c>
      <c r="C5" s="1">
        <v>15125</v>
      </c>
      <c r="D5" s="1">
        <v>15400</v>
      </c>
      <c r="E5" s="4">
        <f t="shared" si="0"/>
        <v>5.4794520547945202E-2</v>
      </c>
      <c r="F5" s="4">
        <f t="shared" si="1"/>
        <v>3.5958904109589039E-2</v>
      </c>
      <c r="G5" s="1" t="str">
        <f t="shared" si="2"/>
        <v>W</v>
      </c>
    </row>
    <row r="6" spans="1:7" x14ac:dyDescent="0.2">
      <c r="A6" s="1" t="s">
        <v>41</v>
      </c>
      <c r="B6" s="1">
        <v>228</v>
      </c>
      <c r="C6" s="1">
        <v>234</v>
      </c>
      <c r="D6" s="1">
        <v>240</v>
      </c>
      <c r="E6" s="4">
        <f t="shared" si="0"/>
        <v>5.2631578947368418E-2</v>
      </c>
      <c r="F6" s="4">
        <f t="shared" si="1"/>
        <v>2.6315789473684209E-2</v>
      </c>
      <c r="G6" s="1" t="str">
        <f t="shared" si="2"/>
        <v>W</v>
      </c>
    </row>
    <row r="7" spans="1:7" x14ac:dyDescent="0.2">
      <c r="A7" s="1" t="s">
        <v>44</v>
      </c>
      <c r="B7" s="1">
        <v>480</v>
      </c>
      <c r="C7" s="1">
        <v>496</v>
      </c>
      <c r="D7" s="1">
        <v>525</v>
      </c>
      <c r="E7" s="4">
        <f t="shared" si="0"/>
        <v>9.375E-2</v>
      </c>
      <c r="F7" s="4">
        <f t="shared" si="1"/>
        <v>3.3333333333333333E-2</v>
      </c>
      <c r="G7" s="1" t="str">
        <f t="shared" si="2"/>
        <v>W</v>
      </c>
    </row>
    <row r="8" spans="1:7" x14ac:dyDescent="0.2">
      <c r="A8" s="1" t="s">
        <v>45</v>
      </c>
      <c r="B8" s="1">
        <v>6150</v>
      </c>
      <c r="C8" s="1">
        <v>6050</v>
      </c>
      <c r="D8" s="1">
        <v>6150</v>
      </c>
      <c r="E8" s="4">
        <f t="shared" si="0"/>
        <v>0</v>
      </c>
      <c r="F8" s="4">
        <f t="shared" si="1"/>
        <v>-1.6260162601626018E-2</v>
      </c>
      <c r="G8" s="1" t="str">
        <f>IF(F8&gt;0,"W","L")</f>
        <v>L</v>
      </c>
    </row>
    <row r="10" spans="1:7" x14ac:dyDescent="0.2">
      <c r="A10" s="5" t="s">
        <v>11</v>
      </c>
      <c r="B10" s="3">
        <f>COUNTIF(G2:G8,"W")/7</f>
        <v>0.5714285714285714</v>
      </c>
    </row>
  </sheetData>
  <conditionalFormatting sqref="E2:F8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G2:G8">
    <cfRule type="cellIs" dxfId="9" priority="3" operator="equal">
      <formula>"L"</formula>
    </cfRule>
    <cfRule type="cellIs" dxfId="8" priority="4" operator="equal">
      <formula>"W"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0456-F950-4E4A-8BF8-8B0429ACECDB}">
  <dimension ref="A1:G10"/>
  <sheetViews>
    <sheetView zoomScale="101" workbookViewId="0">
      <selection sqref="A1:G10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46</v>
      </c>
      <c r="B2" s="1">
        <v>975</v>
      </c>
      <c r="C2" s="1">
        <v>830</v>
      </c>
      <c r="D2" s="1">
        <v>990</v>
      </c>
      <c r="E2" s="4">
        <f>(D2-B2)/B2</f>
        <v>1.5384615384615385E-2</v>
      </c>
      <c r="F2" s="4">
        <f>(C2-B2)/B2</f>
        <v>-0.14871794871794872</v>
      </c>
      <c r="G2" s="1" t="str">
        <f>IF(F2&gt;0,"W","L")</f>
        <v>L</v>
      </c>
    </row>
    <row r="3" spans="1:7" x14ac:dyDescent="0.2">
      <c r="A3" s="1" t="s">
        <v>25</v>
      </c>
      <c r="B3" s="1">
        <v>1035</v>
      </c>
      <c r="C3" s="1">
        <v>1090</v>
      </c>
      <c r="D3" s="1">
        <v>1100</v>
      </c>
      <c r="E3" s="4">
        <f t="shared" ref="E3:E8" si="0">(D3-B3)/B3</f>
        <v>6.280193236714976E-2</v>
      </c>
      <c r="F3" s="4">
        <f t="shared" ref="F3:F8" si="1">(C3-B3)/B3</f>
        <v>5.3140096618357488E-2</v>
      </c>
      <c r="G3" s="1" t="str">
        <f t="shared" ref="G3:G7" si="2">IF(F3&gt;0,"W","L")</f>
        <v>W</v>
      </c>
    </row>
    <row r="4" spans="1:7" x14ac:dyDescent="0.2">
      <c r="A4" s="1" t="s">
        <v>47</v>
      </c>
      <c r="B4" s="1">
        <v>114</v>
      </c>
      <c r="C4" s="1">
        <v>125</v>
      </c>
      <c r="D4" s="1">
        <v>125</v>
      </c>
      <c r="E4" s="4">
        <f t="shared" si="0"/>
        <v>9.6491228070175433E-2</v>
      </c>
      <c r="F4" s="4">
        <f t="shared" si="1"/>
        <v>9.6491228070175433E-2</v>
      </c>
      <c r="G4" s="1" t="str">
        <f t="shared" si="2"/>
        <v>W</v>
      </c>
    </row>
    <row r="5" spans="1:7" x14ac:dyDescent="0.2">
      <c r="A5" s="1" t="s">
        <v>30</v>
      </c>
      <c r="B5" s="1">
        <v>2400</v>
      </c>
      <c r="C5" s="1">
        <v>2350</v>
      </c>
      <c r="D5" s="1">
        <v>2450</v>
      </c>
      <c r="E5" s="4">
        <f t="shared" si="0"/>
        <v>2.0833333333333332E-2</v>
      </c>
      <c r="F5" s="4">
        <f t="shared" si="1"/>
        <v>-2.0833333333333332E-2</v>
      </c>
      <c r="G5" s="1" t="str">
        <f t="shared" si="2"/>
        <v>L</v>
      </c>
    </row>
    <row r="6" spans="1:7" x14ac:dyDescent="0.2">
      <c r="A6" s="1" t="s">
        <v>48</v>
      </c>
      <c r="B6" s="1">
        <v>1390</v>
      </c>
      <c r="C6" s="1">
        <v>1340</v>
      </c>
      <c r="D6" s="1">
        <v>1390</v>
      </c>
      <c r="E6" s="4">
        <f t="shared" si="0"/>
        <v>0</v>
      </c>
      <c r="F6" s="4">
        <f t="shared" si="1"/>
        <v>-3.5971223021582732E-2</v>
      </c>
      <c r="G6" s="1" t="str">
        <f t="shared" si="2"/>
        <v>L</v>
      </c>
    </row>
    <row r="7" spans="1:7" x14ac:dyDescent="0.2">
      <c r="A7" s="1" t="s">
        <v>32</v>
      </c>
      <c r="B7" s="1">
        <v>326</v>
      </c>
      <c r="C7" s="1">
        <v>294</v>
      </c>
      <c r="D7" s="1">
        <v>314</v>
      </c>
      <c r="E7" s="4">
        <f t="shared" si="0"/>
        <v>-3.6809815950920248E-2</v>
      </c>
      <c r="F7" s="4">
        <f t="shared" si="1"/>
        <v>-9.815950920245399E-2</v>
      </c>
      <c r="G7" s="1" t="str">
        <f t="shared" si="2"/>
        <v>L</v>
      </c>
    </row>
    <row r="8" spans="1:7" x14ac:dyDescent="0.2">
      <c r="A8" s="1" t="s">
        <v>49</v>
      </c>
      <c r="B8" s="1">
        <v>74</v>
      </c>
      <c r="C8" s="1">
        <v>76</v>
      </c>
      <c r="D8" s="1">
        <v>80</v>
      </c>
      <c r="E8" s="4">
        <f t="shared" si="0"/>
        <v>8.1081081081081086E-2</v>
      </c>
      <c r="F8" s="4">
        <f t="shared" si="1"/>
        <v>2.7027027027027029E-2</v>
      </c>
      <c r="G8" s="1" t="str">
        <f>IF(F8&gt;0,"W","L")</f>
        <v>W</v>
      </c>
    </row>
    <row r="10" spans="1:7" x14ac:dyDescent="0.2">
      <c r="A10" s="5" t="s">
        <v>11</v>
      </c>
      <c r="B10" s="3">
        <f>COUNTIF(G2:G8,"W")/7</f>
        <v>0.42857142857142855</v>
      </c>
    </row>
  </sheetData>
  <conditionalFormatting sqref="E2:F8">
    <cfRule type="cellIs" dxfId="7" priority="1" operator="lessThan">
      <formula>0</formula>
    </cfRule>
    <cfRule type="cellIs" dxfId="6" priority="2" operator="greaterThan">
      <formula>0</formula>
    </cfRule>
  </conditionalFormatting>
  <conditionalFormatting sqref="G2:G8">
    <cfRule type="cellIs" dxfId="5" priority="3" operator="equal">
      <formula>"L"</formula>
    </cfRule>
    <cfRule type="cellIs" dxfId="4" priority="4" operator="equal">
      <formula>"W"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4D03-1F35-0749-9962-9F3CD8D660A0}">
  <dimension ref="A1:G10"/>
  <sheetViews>
    <sheetView tabSelected="1" workbookViewId="0">
      <selection activeCell="D9" sqref="D9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12</v>
      </c>
    </row>
    <row r="2" spans="1:7" x14ac:dyDescent="0.2">
      <c r="A2" s="1" t="s">
        <v>41</v>
      </c>
      <c r="B2" s="1">
        <v>238</v>
      </c>
      <c r="C2" s="1">
        <v>242</v>
      </c>
      <c r="D2" s="1">
        <v>250</v>
      </c>
      <c r="E2" s="4">
        <f>(D2-B2)/B2</f>
        <v>5.0420168067226892E-2</v>
      </c>
      <c r="F2" s="4">
        <f>(C2-B2)/B2</f>
        <v>1.680672268907563E-2</v>
      </c>
      <c r="G2" s="1" t="str">
        <f>IF(F2&gt;0,"W","L")</f>
        <v>W</v>
      </c>
    </row>
    <row r="3" spans="1:7" x14ac:dyDescent="0.2">
      <c r="A3" s="1" t="s">
        <v>53</v>
      </c>
      <c r="B3" s="1">
        <v>1040</v>
      </c>
      <c r="C3" s="1">
        <v>1100</v>
      </c>
      <c r="D3" s="1">
        <v>1300</v>
      </c>
      <c r="E3" s="4">
        <f t="shared" ref="E3:E8" si="0">(D3-B3)/B3</f>
        <v>0.25</v>
      </c>
      <c r="F3" s="4">
        <f t="shared" ref="F3:F8" si="1">(C3-B3)/B3</f>
        <v>5.7692307692307696E-2</v>
      </c>
      <c r="G3" s="1" t="str">
        <f t="shared" ref="G3:G7" si="2">IF(F3&gt;0,"W","L")</f>
        <v>W</v>
      </c>
    </row>
    <row r="4" spans="1:7" x14ac:dyDescent="0.2">
      <c r="A4" s="1" t="s">
        <v>34</v>
      </c>
      <c r="B4" s="1">
        <v>156</v>
      </c>
      <c r="C4" s="1">
        <v>159</v>
      </c>
      <c r="D4" s="1">
        <v>160</v>
      </c>
      <c r="E4" s="4">
        <f t="shared" si="0"/>
        <v>2.564102564102564E-2</v>
      </c>
      <c r="F4" s="4">
        <f t="shared" si="1"/>
        <v>1.9230769230769232E-2</v>
      </c>
      <c r="G4" s="1" t="str">
        <f t="shared" si="2"/>
        <v>W</v>
      </c>
    </row>
    <row r="5" spans="1:7" x14ac:dyDescent="0.2">
      <c r="A5" s="1" t="s">
        <v>51</v>
      </c>
      <c r="B5" s="1">
        <v>1940</v>
      </c>
      <c r="C5" s="1">
        <v>1930</v>
      </c>
      <c r="D5" s="1">
        <v>2220</v>
      </c>
      <c r="E5" s="4">
        <f t="shared" si="0"/>
        <v>0.14432989690721648</v>
      </c>
      <c r="F5" s="4">
        <f t="shared" si="1"/>
        <v>-5.1546391752577319E-3</v>
      </c>
      <c r="G5" s="1" t="str">
        <f t="shared" si="2"/>
        <v>L</v>
      </c>
    </row>
    <row r="6" spans="1:7" x14ac:dyDescent="0.2">
      <c r="A6" s="1" t="s">
        <v>52</v>
      </c>
      <c r="B6" s="1">
        <v>336</v>
      </c>
      <c r="C6" s="1">
        <v>382</v>
      </c>
      <c r="D6" s="1">
        <v>386</v>
      </c>
      <c r="E6" s="4">
        <f t="shared" si="0"/>
        <v>0.14880952380952381</v>
      </c>
      <c r="F6" s="4">
        <f t="shared" si="1"/>
        <v>0.13690476190476192</v>
      </c>
      <c r="G6" s="1" t="str">
        <f t="shared" si="2"/>
        <v>W</v>
      </c>
    </row>
    <row r="7" spans="1:7" x14ac:dyDescent="0.2">
      <c r="A7" s="1" t="s">
        <v>22</v>
      </c>
      <c r="B7" s="1">
        <v>212</v>
      </c>
      <c r="C7" s="1">
        <v>181</v>
      </c>
      <c r="D7" s="1">
        <v>252</v>
      </c>
      <c r="E7" s="4">
        <f t="shared" si="0"/>
        <v>0.18867924528301888</v>
      </c>
      <c r="F7" s="4">
        <f t="shared" si="1"/>
        <v>-0.14622641509433962</v>
      </c>
      <c r="G7" s="1" t="str">
        <f t="shared" si="2"/>
        <v>L</v>
      </c>
    </row>
    <row r="8" spans="1:7" x14ac:dyDescent="0.2">
      <c r="A8" s="1" t="s">
        <v>50</v>
      </c>
      <c r="B8" s="1">
        <v>422</v>
      </c>
      <c r="C8" s="1">
        <v>525</v>
      </c>
      <c r="D8" s="1">
        <v>525</v>
      </c>
      <c r="E8" s="4">
        <f t="shared" si="0"/>
        <v>0.24407582938388625</v>
      </c>
      <c r="F8" s="4">
        <f t="shared" si="1"/>
        <v>0.24407582938388625</v>
      </c>
      <c r="G8" s="1" t="str">
        <f>IF(F8&gt;0,"W","L")</f>
        <v>W</v>
      </c>
    </row>
    <row r="10" spans="1:7" x14ac:dyDescent="0.2">
      <c r="A10" s="5" t="s">
        <v>11</v>
      </c>
      <c r="B10" s="3">
        <f>COUNTIF(G2:G8,"W")/7</f>
        <v>0.7142857142857143</v>
      </c>
    </row>
  </sheetData>
  <conditionalFormatting sqref="E2:F8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G2:G8">
    <cfRule type="cellIs" dxfId="1" priority="3" operator="equal">
      <formula>"L"</formula>
    </cfRule>
    <cfRule type="cellIs" dxfId="0" priority="4" operator="equal">
      <formula>"W"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Monday, May 11 2026</vt:lpstr>
      <vt:lpstr>Tuesday, May 12 2026</vt:lpstr>
      <vt:lpstr>Wednesday, May 13 2026</vt:lpstr>
      <vt:lpstr>Monday, May 18 2026</vt:lpstr>
      <vt:lpstr>Tuesday, May 19 2026</vt:lpstr>
      <vt:lpstr>Wednesday, May 20 2026</vt:lpstr>
      <vt:lpstr>Thursday, May 21 2026</vt:lpstr>
      <vt:lpstr>Friday, May 22 2026</vt:lpstr>
      <vt:lpstr>Monday, May 25 2026</vt:lpstr>
      <vt:lpstr>Tuesday, May 26 2026</vt:lpstr>
      <vt:lpstr>Tuesday, June 02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Lionael Surya Dwitama</dc:creator>
  <cp:lastModifiedBy>Lionael Surya Dwitama</cp:lastModifiedBy>
  <dcterms:created xsi:type="dcterms:W3CDTF">2026-05-11T03:11:46Z</dcterms:created>
  <dcterms:modified xsi:type="dcterms:W3CDTF">2026-06-02T13:43:11Z</dcterms:modified>
</cp:coreProperties>
</file>